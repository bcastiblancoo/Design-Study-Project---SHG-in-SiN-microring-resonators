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anaconda3\envs\emode\SLIDES\REPORT\Results\Rectangular - Main\"/>
    </mc:Choice>
  </mc:AlternateContent>
  <xr:revisionPtr revIDLastSave="0" documentId="13_ncr:1_{E409C8D3-750D-435E-8F84-32FE8D675A6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<sst xmlns="http://schemas.openxmlformats.org/spreadsheetml/2006/main" count="52" uniqueCount="24">
  <si>
    <t>Width(nm)</t>
  </si>
  <si>
    <t>Mode</t>
  </si>
  <si>
    <t>n_eff</t>
  </si>
  <si>
    <t>n_g</t>
  </si>
  <si>
    <t>TE%</t>
  </si>
  <si>
    <t>Loss(dB/m)</t>
  </si>
  <si>
    <t>Area_eff(um^2)</t>
  </si>
  <si>
    <t>core confinement</t>
  </si>
  <si>
    <t>FH</t>
  </si>
  <si>
    <t>SH</t>
  </si>
  <si>
    <t>wavelength FH</t>
  </si>
  <si>
    <t>1595.0 nm</t>
  </si>
  <si>
    <t>797.5 nm</t>
  </si>
  <si>
    <t>wavelength SH</t>
  </si>
  <si>
    <t>FSR (GHz)</t>
  </si>
  <si>
    <t>Δk(λ0) (1/m)</t>
  </si>
  <si>
    <t>Δk * L / 2 (rad)</t>
  </si>
  <si>
    <t>Mismatch factor sinc(Δk L / 2)</t>
  </si>
  <si>
    <t>min |DET_SH| (pm)</t>
  </si>
  <si>
    <t>chi(2) eff (pm/V)</t>
  </si>
  <si>
    <t>Ratio FSR SH/FH</t>
  </si>
  <si>
    <t>1550.0 nm</t>
  </si>
  <si>
    <t>775.0 nm</t>
  </si>
  <si>
    <t>min|DET_FH|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</si>
</sst>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"/>
    <numFmt numFmtId="166" formatCode="0.0%"/>
    <numFmt numFmtId="167" formatCode="0.0000"/>
    <numFmt numFmtId="168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Hoja2!$B$2</c:f>
              <c:strCache>
                <c:ptCount val="1"/>
                <c:pt idx="0">
                  <c:v>chi(2) eff (pm/V)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2.3684601924759404E-2"/>
                  <c:y val="6.95651064450277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Hoja2!$A$3:$A$28</c:f>
              <c:numCache>
                <c:formatCode>General</c:formatCode>
                <c:ptCount val="26"/>
                <c:pt idx="0">
                  <c:v>600</c:v>
                </c:pt>
                <c:pt idx="2">
                  <c:v>700</c:v>
                </c:pt>
                <c:pt idx="4">
                  <c:v>800</c:v>
                </c:pt>
                <c:pt idx="6">
                  <c:v>900</c:v>
                </c:pt>
                <c:pt idx="8">
                  <c:v>1000</c:v>
                </c:pt>
                <c:pt idx="10">
                  <c:v>1100</c:v>
                </c:pt>
                <c:pt idx="12">
                  <c:v>1200</c:v>
                </c:pt>
                <c:pt idx="14">
                  <c:v>1300</c:v>
                </c:pt>
                <c:pt idx="16">
                  <c:v>1400</c:v>
                </c:pt>
                <c:pt idx="18">
                  <c:v>1500</c:v>
                </c:pt>
                <c:pt idx="20">
                  <c:v>1600</c:v>
                </c:pt>
                <c:pt idx="22">
                  <c:v>1700</c:v>
                </c:pt>
                <c:pt idx="24">
                  <c:v>1800</c:v>
                </c:pt>
              </c:numCache>
            </c:numRef>
          </c:xVal>
          <c:yVal>
            <c:numRef>
              <c:f>Hoja2!$B$3:$B$28</c:f>
              <c:numCache>
                <c:formatCode>0.0000</c:formatCode>
                <c:ptCount val="26"/>
                <c:pt idx="0">
                  <c:v>0.40345017932940602</c:v>
                </c:pt>
                <c:pt idx="2">
                  <c:v>0.46858443319416199</c:v>
                </c:pt>
                <c:pt idx="4">
                  <c:v>0.50427363100578904</c:v>
                </c:pt>
                <c:pt idx="6">
                  <c:v>0.51626545066570695</c:v>
                </c:pt>
                <c:pt idx="8">
                  <c:v>0.5090197096154</c:v>
                </c:pt>
                <c:pt idx="10">
                  <c:v>0.490426961828476</c:v>
                </c:pt>
                <c:pt idx="12">
                  <c:v>0.46543429467219499</c:v>
                </c:pt>
                <c:pt idx="14">
                  <c:v>0.43750474304242998</c:v>
                </c:pt>
                <c:pt idx="16">
                  <c:v>0.40855709280358798</c:v>
                </c:pt>
                <c:pt idx="18">
                  <c:v>0.37929706579521399</c:v>
                </c:pt>
                <c:pt idx="20">
                  <c:v>0.35238212899080001</c:v>
                </c:pt>
                <c:pt idx="22">
                  <c:v>0.32699962856384301</c:v>
                </c:pt>
                <c:pt idx="24">
                  <c:v>0.303162612969191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9-4674-9356-CC2706EC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957296"/>
        <c:axId val="327076944"/>
      </c:scatterChart>
      <c:valAx>
        <c:axId val="32695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7076944"/>
        <c:crosses val="autoZero"/>
        <c:crossBetween val="midCat"/>
      </c:valAx>
      <c:valAx>
        <c:axId val="3270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2695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11</xdr:row>
      <xdr:rowOff>142875</xdr:rowOff>
    </xdr:from>
    <xdr:to>
      <xdr:col>9</xdr:col>
      <xdr:colOff>381000</xdr:colOff>
      <xdr:row>26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D8CAE9-4F4F-40DB-A74B-606DAF5F9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0"/>
  <sheetViews>
    <sheetView topLeftCell="G4" zoomScale="70" zoomScaleNormal="70" workbookViewId="0">
      <selection activeCell="P4" sqref="P4:P30"/>
    </sheetView>
  </sheetViews>
  <sheetFormatPr baseColWidth="10" defaultColWidth="9.140625" defaultRowHeight="15" x14ac:dyDescent="0.25"/>
  <cols>
    <col min="1" max="1" width="12.140625" customWidth="1"/>
    <col min="2" max="2" width="12.5703125" customWidth="1"/>
    <col min="3" max="3" width="11.42578125" customWidth="1"/>
    <col min="4" max="4" width="11.140625" customWidth="1"/>
    <col min="5" max="5" width="12.85546875" customWidth="1"/>
    <col min="6" max="6" width="18.7109375" customWidth="1"/>
    <col min="7" max="7" width="13.85546875" customWidth="1"/>
    <col min="8" max="8" width="19.140625" customWidth="1"/>
    <col min="9" max="9" width="14" customWidth="1"/>
    <col min="10" max="10" width="19.85546875" customWidth="1"/>
    <col min="11" max="11" width="12.140625" customWidth="1"/>
    <col min="12" max="12" width="17.140625" customWidth="1"/>
    <col min="13" max="13" width="33.140625" customWidth="1"/>
    <col min="14" max="14" width="21" customWidth="1"/>
    <col min="15" max="15" width="19.5703125" customWidth="1"/>
    <col min="16" max="16" width="19.7109375" customWidth="1"/>
  </cols>
  <sheetData>
    <row r="2" spans="1:16" x14ac:dyDescent="0.25">
      <c r="A2" s="11" t="s">
        <v>10</v>
      </c>
      <c r="B2" s="11"/>
      <c r="C2" t="s">
        <v>11</v>
      </c>
      <c r="I2" t="s">
        <v>10</v>
      </c>
      <c r="J2" t="s">
        <v>21</v>
      </c>
    </row>
    <row r="3" spans="1:16" x14ac:dyDescent="0.25">
      <c r="A3" s="11" t="s">
        <v>13</v>
      </c>
      <c r="B3" s="11"/>
      <c r="C3" t="s">
        <v>12</v>
      </c>
      <c r="I3" t="s">
        <v>13</v>
      </c>
      <c r="J3" t="s">
        <v>22</v>
      </c>
    </row>
    <row r="4" spans="1:16" x14ac:dyDescent="0.25">
      <c r="A4" s="2" t="s">
        <v>0</v>
      </c>
      <c r="B4" s="2" t="s">
        <v>1</v>
      </c>
      <c r="C4" s="2" t="s">
        <v>2</v>
      </c>
      <c r="D4" s="2" t="s">
        <v>4</v>
      </c>
      <c r="E4" s="2" t="s">
        <v>5</v>
      </c>
      <c r="F4" s="2" t="s">
        <v>6</v>
      </c>
      <c r="G4" s="2" t="s">
        <v>3</v>
      </c>
      <c r="H4" s="2" t="s">
        <v>7</v>
      </c>
      <c r="I4" s="2" t="s">
        <v>14</v>
      </c>
      <c r="J4" s="2" t="s">
        <v>20</v>
      </c>
      <c r="K4" s="5" t="s">
        <v>15</v>
      </c>
      <c r="L4" s="5" t="s">
        <v>16</v>
      </c>
      <c r="M4" s="2" t="s">
        <v>17</v>
      </c>
      <c r="N4" s="5" t="s">
        <v>23</v>
      </c>
      <c r="O4" s="5" t="s">
        <v>18</v>
      </c>
      <c r="P4" s="5" t="s">
        <v>19</v>
      </c>
    </row>
    <row r="5" spans="1:16" x14ac:dyDescent="0.25">
      <c r="A5" s="15">
        <v>600</v>
      </c>
      <c r="B5" s="3" t="s">
        <v>8</v>
      </c>
      <c r="C5" s="9">
        <v>1.598457</v>
      </c>
      <c r="D5" s="8">
        <v>0.99</v>
      </c>
      <c r="E5" s="7">
        <v>0</v>
      </c>
      <c r="F5" s="1">
        <v>0.95699999999999996</v>
      </c>
      <c r="G5" s="9">
        <v>2.0509300000000001</v>
      </c>
      <c r="H5" s="8">
        <v>0.59799999999999998</v>
      </c>
      <c r="I5" s="1">
        <v>25.62</v>
      </c>
      <c r="J5" s="12">
        <f>I6/I5</f>
        <v>0.95081967213114749</v>
      </c>
      <c r="K5" s="13">
        <v>2209000</v>
      </c>
      <c r="L5" s="13">
        <v>6246</v>
      </c>
      <c r="M5" s="13">
        <v>9.987E-2</v>
      </c>
      <c r="N5" s="10">
        <v>18.952941646666002</v>
      </c>
      <c r="O5" s="10">
        <v>99.189354646478293</v>
      </c>
      <c r="P5" s="10">
        <v>0.40345017932940602</v>
      </c>
    </row>
    <row r="6" spans="1:16" x14ac:dyDescent="0.25">
      <c r="A6" s="15"/>
      <c r="B6" s="4" t="s">
        <v>9</v>
      </c>
      <c r="C6" s="9">
        <v>1.8755040000000001</v>
      </c>
      <c r="D6" s="8">
        <v>0.999</v>
      </c>
      <c r="E6" s="7">
        <v>0</v>
      </c>
      <c r="F6" s="7">
        <v>0.30299999999999999</v>
      </c>
      <c r="G6" s="9">
        <v>2.1755300000000002</v>
      </c>
      <c r="H6" s="8">
        <v>0.93899999999999995</v>
      </c>
      <c r="I6" s="1">
        <v>24.36</v>
      </c>
      <c r="J6" s="12"/>
      <c r="K6" s="13"/>
      <c r="L6" s="13"/>
      <c r="M6" s="13"/>
      <c r="N6" s="10"/>
      <c r="O6" s="10"/>
      <c r="P6" s="10"/>
    </row>
    <row r="7" spans="1:16" x14ac:dyDescent="0.25">
      <c r="A7" s="15">
        <v>700</v>
      </c>
      <c r="B7" s="3" t="s">
        <v>8</v>
      </c>
      <c r="C7" s="9">
        <v>1.6366860000000001</v>
      </c>
      <c r="D7" s="8">
        <v>0.99199999999999999</v>
      </c>
      <c r="E7" s="7">
        <v>0</v>
      </c>
      <c r="F7" s="1">
        <v>0.88800000000000001</v>
      </c>
      <c r="G7" s="9">
        <v>2.0970499999999999</v>
      </c>
      <c r="H7" s="8">
        <v>0.67600000000000005</v>
      </c>
      <c r="I7" s="1">
        <v>25.62</v>
      </c>
      <c r="J7" s="14">
        <v>0.95499999999999996</v>
      </c>
      <c r="K7" s="13">
        <v>2361000</v>
      </c>
      <c r="L7" s="13">
        <v>6676</v>
      </c>
      <c r="M7" s="13">
        <v>9.6220000000000008E-7</v>
      </c>
      <c r="N7" s="10">
        <v>18.9529520550069</v>
      </c>
      <c r="O7" s="10">
        <v>0.28857992384612102</v>
      </c>
      <c r="P7" s="10">
        <v>0.46858443319416199</v>
      </c>
    </row>
    <row r="8" spans="1:16" x14ac:dyDescent="0.25">
      <c r="A8" s="15"/>
      <c r="B8" s="4" t="s">
        <v>9</v>
      </c>
      <c r="C8" s="9">
        <v>1.895111</v>
      </c>
      <c r="D8" s="8">
        <v>0.999</v>
      </c>
      <c r="E8" s="7">
        <v>0</v>
      </c>
      <c r="F8" s="1">
        <v>0.32800000000000001</v>
      </c>
      <c r="G8" s="9">
        <v>2.1645599999999998</v>
      </c>
      <c r="H8" s="8">
        <v>0.95</v>
      </c>
      <c r="I8" s="1">
        <v>24.48</v>
      </c>
      <c r="J8" s="14"/>
      <c r="K8" s="13"/>
      <c r="L8" s="13"/>
      <c r="M8" s="13"/>
      <c r="N8" s="10"/>
      <c r="O8" s="10"/>
      <c r="P8" s="10"/>
    </row>
    <row r="9" spans="1:16" x14ac:dyDescent="0.25">
      <c r="A9" s="15">
        <v>800</v>
      </c>
      <c r="B9" s="3" t="s">
        <v>8</v>
      </c>
      <c r="C9" s="9">
        <v>1.667692</v>
      </c>
      <c r="D9" s="8">
        <v>0.99399999999999999</v>
      </c>
      <c r="E9" s="7">
        <v>0</v>
      </c>
      <c r="F9" s="1">
        <v>0.85599999999999998</v>
      </c>
      <c r="G9" s="9">
        <v>2.1185299999999998</v>
      </c>
      <c r="H9" s="8">
        <v>0.72799999999999998</v>
      </c>
      <c r="I9" s="1">
        <v>25.62</v>
      </c>
      <c r="J9" s="12">
        <v>0.95899999999999996</v>
      </c>
      <c r="K9" s="13">
        <v>2466000</v>
      </c>
      <c r="L9" s="13">
        <v>2466000</v>
      </c>
      <c r="M9" s="13">
        <v>-7.4850000000000003E-6</v>
      </c>
      <c r="N9" s="10">
        <v>18.9529520550069</v>
      </c>
      <c r="O9" s="10">
        <v>56.398654843525797</v>
      </c>
      <c r="P9" s="10">
        <v>0.50427363100578904</v>
      </c>
    </row>
    <row r="10" spans="1:16" x14ac:dyDescent="0.25">
      <c r="A10" s="15"/>
      <c r="B10" s="4" t="s">
        <v>9</v>
      </c>
      <c r="C10" s="9">
        <v>1.908622</v>
      </c>
      <c r="D10" s="8">
        <v>0.999</v>
      </c>
      <c r="E10" s="7">
        <v>0</v>
      </c>
      <c r="F10" s="1">
        <v>0.35599999999999998</v>
      </c>
      <c r="G10" s="9">
        <v>2.1558299999999999</v>
      </c>
      <c r="H10" s="8">
        <v>0.95599999999999996</v>
      </c>
      <c r="I10" s="1">
        <v>24.58</v>
      </c>
      <c r="J10" s="12"/>
      <c r="K10" s="13"/>
      <c r="L10" s="13"/>
      <c r="M10" s="13"/>
      <c r="N10" s="10"/>
      <c r="O10" s="10"/>
      <c r="P10" s="10"/>
    </row>
    <row r="11" spans="1:16" x14ac:dyDescent="0.25">
      <c r="A11" s="15">
        <v>900</v>
      </c>
      <c r="B11" s="3" t="s">
        <v>8</v>
      </c>
      <c r="C11" s="9">
        <v>1.692466</v>
      </c>
      <c r="D11" s="8">
        <v>0.995</v>
      </c>
      <c r="E11" s="7">
        <v>0</v>
      </c>
      <c r="F11" s="1">
        <v>0.84599999999999997</v>
      </c>
      <c r="G11" s="9">
        <v>2.1269900000000002</v>
      </c>
      <c r="H11" s="8">
        <v>0.76200000000000001</v>
      </c>
      <c r="I11" s="1">
        <v>25.62</v>
      </c>
      <c r="J11" s="14">
        <v>0.96199999999999997</v>
      </c>
      <c r="K11" s="13">
        <v>2540000</v>
      </c>
      <c r="L11" s="13">
        <v>7183</v>
      </c>
      <c r="M11" s="13">
        <v>1.0399999999999999E-4</v>
      </c>
      <c r="N11" s="10">
        <v>18.9529520550069</v>
      </c>
      <c r="O11" s="10">
        <v>16.346080738971398</v>
      </c>
      <c r="P11" s="10">
        <v>0.51626545066570695</v>
      </c>
    </row>
    <row r="12" spans="1:16" x14ac:dyDescent="0.25">
      <c r="A12" s="15"/>
      <c r="B12" s="4" t="s">
        <v>9</v>
      </c>
      <c r="C12" s="9">
        <v>1.918302</v>
      </c>
      <c r="D12" s="8">
        <v>1</v>
      </c>
      <c r="E12" s="7">
        <v>0</v>
      </c>
      <c r="F12" s="1">
        <v>0.38600000000000001</v>
      </c>
      <c r="G12" s="9">
        <v>2.14899</v>
      </c>
      <c r="H12" s="8">
        <v>0.95899999999999996</v>
      </c>
      <c r="I12" s="1">
        <v>24.66</v>
      </c>
      <c r="J12" s="14"/>
      <c r="K12" s="13"/>
      <c r="L12" s="13"/>
      <c r="M12" s="13"/>
      <c r="N12" s="10"/>
      <c r="O12" s="10"/>
      <c r="P12" s="10"/>
    </row>
    <row r="13" spans="1:16" x14ac:dyDescent="0.25">
      <c r="A13" s="15">
        <v>1000</v>
      </c>
      <c r="B13" s="3" t="s">
        <v>8</v>
      </c>
      <c r="C13" s="9">
        <v>1.712259</v>
      </c>
      <c r="D13" s="8">
        <v>0.996</v>
      </c>
      <c r="E13" s="7">
        <v>0</v>
      </c>
      <c r="F13" s="1">
        <v>0.85199999999999998</v>
      </c>
      <c r="G13" s="9">
        <v>2.12886</v>
      </c>
      <c r="H13" s="8">
        <v>0.78400000000000003</v>
      </c>
      <c r="I13" s="1">
        <v>24.86</v>
      </c>
      <c r="J13" s="12">
        <v>0.99399999999999999</v>
      </c>
      <c r="K13" s="13">
        <v>1683000</v>
      </c>
      <c r="L13" s="13">
        <v>4758</v>
      </c>
      <c r="M13" s="13">
        <v>2.0929999999999999E-4</v>
      </c>
      <c r="N13" s="10">
        <v>4.9045489891597001</v>
      </c>
      <c r="O13" s="10">
        <v>61.716130470013098</v>
      </c>
      <c r="P13" s="10">
        <v>0.5090197096154</v>
      </c>
    </row>
    <row r="14" spans="1:16" x14ac:dyDescent="0.25">
      <c r="A14" s="15"/>
      <c r="B14" s="4" t="s">
        <v>9</v>
      </c>
      <c r="C14" s="9">
        <v>1.9254659999999999</v>
      </c>
      <c r="D14" s="8">
        <v>1</v>
      </c>
      <c r="E14" s="7">
        <v>0</v>
      </c>
      <c r="F14" s="1">
        <v>0.41799999999999998</v>
      </c>
      <c r="G14" s="9">
        <v>2.1436000000000002</v>
      </c>
      <c r="H14" s="8">
        <v>0.96199999999999997</v>
      </c>
      <c r="I14" s="1">
        <v>24.72</v>
      </c>
      <c r="J14" s="12"/>
      <c r="K14" s="13"/>
      <c r="L14" s="13"/>
      <c r="M14" s="13"/>
      <c r="N14" s="10"/>
      <c r="O14" s="10"/>
      <c r="P14" s="10"/>
    </row>
    <row r="15" spans="1:16" x14ac:dyDescent="0.25">
      <c r="A15" s="15">
        <v>1100</v>
      </c>
      <c r="B15" s="3" t="s">
        <v>8</v>
      </c>
      <c r="C15" s="9">
        <v>1.728178</v>
      </c>
      <c r="D15" s="8">
        <v>0.997</v>
      </c>
      <c r="E15" s="7">
        <v>0</v>
      </c>
      <c r="F15" s="1">
        <v>0.86799999999999999</v>
      </c>
      <c r="G15" s="9">
        <v>2.1275300000000001</v>
      </c>
      <c r="H15" s="8">
        <v>0.80100000000000005</v>
      </c>
      <c r="I15" s="1">
        <v>25.62</v>
      </c>
      <c r="J15" s="14">
        <v>0.96599999999999997</v>
      </c>
      <c r="K15" s="13">
        <v>2637000</v>
      </c>
      <c r="L15" s="13">
        <v>7457</v>
      </c>
      <c r="M15" s="13">
        <v>-9.9980000000000002E-5</v>
      </c>
      <c r="N15" s="10">
        <v>18.9529520550069</v>
      </c>
      <c r="O15" s="10">
        <v>4.9944492985787203</v>
      </c>
      <c r="P15" s="10">
        <v>0.490426961828476</v>
      </c>
    </row>
    <row r="16" spans="1:16" x14ac:dyDescent="0.25">
      <c r="A16" s="15"/>
      <c r="B16" s="4" t="s">
        <v>9</v>
      </c>
      <c r="C16" s="9">
        <v>1.930912</v>
      </c>
      <c r="D16" s="8">
        <v>1</v>
      </c>
      <c r="E16" s="7">
        <v>0</v>
      </c>
      <c r="F16" s="7">
        <v>0.45</v>
      </c>
      <c r="G16" s="9">
        <v>2.1393200000000001</v>
      </c>
      <c r="H16" s="8">
        <v>0.96299999999999997</v>
      </c>
      <c r="I16" s="1">
        <v>24.76</v>
      </c>
      <c r="J16" s="14"/>
      <c r="K16" s="13"/>
      <c r="L16" s="13"/>
      <c r="M16" s="13"/>
      <c r="N16" s="10"/>
      <c r="O16" s="10"/>
      <c r="P16" s="10"/>
    </row>
    <row r="17" spans="1:16" x14ac:dyDescent="0.25">
      <c r="A17" s="15">
        <v>1200</v>
      </c>
      <c r="B17" s="3" t="s">
        <v>8</v>
      </c>
      <c r="C17" s="9">
        <v>1.741099</v>
      </c>
      <c r="D17" s="8">
        <v>0.998</v>
      </c>
      <c r="E17" s="7">
        <v>0</v>
      </c>
      <c r="F17" s="1">
        <v>0.89100000000000001</v>
      </c>
      <c r="G17" s="9">
        <v>2.1247199999999999</v>
      </c>
      <c r="H17" s="8">
        <v>0.81200000000000006</v>
      </c>
      <c r="I17" s="1">
        <v>24.93</v>
      </c>
      <c r="J17" s="12">
        <v>0.995</v>
      </c>
      <c r="K17" s="13">
        <v>1531000</v>
      </c>
      <c r="L17" s="13">
        <v>4330</v>
      </c>
      <c r="M17" s="13">
        <v>1.07E-4</v>
      </c>
      <c r="N17" s="10">
        <v>16.105727862480901</v>
      </c>
      <c r="O17" s="10">
        <v>26.3914480547189</v>
      </c>
      <c r="P17" s="10">
        <v>0.46543429467219499</v>
      </c>
    </row>
    <row r="18" spans="1:16" x14ac:dyDescent="0.25">
      <c r="A18" s="15"/>
      <c r="B18" s="4" t="s">
        <v>9</v>
      </c>
      <c r="C18" s="9">
        <v>1.9351480000000001</v>
      </c>
      <c r="D18" s="8">
        <v>1</v>
      </c>
      <c r="E18" s="7">
        <v>0</v>
      </c>
      <c r="F18" s="1">
        <v>0.48299999999999998</v>
      </c>
      <c r="G18" s="9">
        <v>2.1358799999999998</v>
      </c>
      <c r="H18" s="8">
        <v>0.96399999999999997</v>
      </c>
      <c r="I18" s="6">
        <v>24.8</v>
      </c>
      <c r="J18" s="12"/>
      <c r="K18" s="13"/>
      <c r="L18" s="13"/>
      <c r="M18" s="13"/>
      <c r="N18" s="10"/>
      <c r="O18" s="10"/>
      <c r="P18" s="10"/>
    </row>
    <row r="19" spans="1:16" x14ac:dyDescent="0.25">
      <c r="A19" s="15">
        <v>1300</v>
      </c>
      <c r="B19" s="3" t="s">
        <v>8</v>
      </c>
      <c r="C19" s="9">
        <v>1.7516959999999999</v>
      </c>
      <c r="D19" s="8">
        <v>0.998</v>
      </c>
      <c r="E19" s="7">
        <v>0</v>
      </c>
      <c r="F19" s="1">
        <v>0.91900000000000004</v>
      </c>
      <c r="G19" s="9">
        <v>2.1213199999999999</v>
      </c>
      <c r="H19" s="8">
        <v>0.82</v>
      </c>
      <c r="I19" s="1">
        <v>25.62</v>
      </c>
      <c r="J19" s="14">
        <v>0.96899999999999997</v>
      </c>
      <c r="K19" s="13">
        <v>1.1010000000000001E-4</v>
      </c>
      <c r="L19" s="13">
        <v>18.9529520550069</v>
      </c>
      <c r="M19" s="13">
        <v>41.139393974764999</v>
      </c>
      <c r="N19" s="10">
        <v>18.9529520550069</v>
      </c>
      <c r="O19" s="10">
        <v>41.139393974764999</v>
      </c>
      <c r="P19" s="10">
        <v>0.43750474304242998</v>
      </c>
    </row>
    <row r="20" spans="1:16" x14ac:dyDescent="0.25">
      <c r="A20" s="15"/>
      <c r="B20" s="4" t="s">
        <v>9</v>
      </c>
      <c r="C20" s="9">
        <v>1.9385060000000001</v>
      </c>
      <c r="D20" s="8">
        <v>1</v>
      </c>
      <c r="E20" s="7">
        <v>0</v>
      </c>
      <c r="F20" s="1">
        <v>0.51700000000000002</v>
      </c>
      <c r="G20" s="9">
        <v>2.13307</v>
      </c>
      <c r="H20" s="8">
        <v>0.96499999999999997</v>
      </c>
      <c r="I20" s="1">
        <v>24.83</v>
      </c>
      <c r="J20" s="14"/>
      <c r="K20" s="13"/>
      <c r="L20" s="13"/>
      <c r="M20" s="13"/>
      <c r="N20" s="10"/>
      <c r="O20" s="10"/>
      <c r="P20" s="10"/>
    </row>
    <row r="21" spans="1:16" x14ac:dyDescent="0.25">
      <c r="A21" s="15">
        <v>1400</v>
      </c>
      <c r="B21" s="3" t="s">
        <v>8</v>
      </c>
      <c r="C21" s="9">
        <v>1.760473</v>
      </c>
      <c r="D21" s="8">
        <v>0.999</v>
      </c>
      <c r="E21" s="7">
        <v>0</v>
      </c>
      <c r="F21" s="1">
        <v>0.95099999999999996</v>
      </c>
      <c r="G21" s="9">
        <v>2.1177899999999998</v>
      </c>
      <c r="H21" s="8">
        <v>0.82699999999999996</v>
      </c>
      <c r="I21" s="1">
        <v>25.02</v>
      </c>
      <c r="J21" s="12">
        <v>0.99399999999999999</v>
      </c>
      <c r="K21" s="13">
        <v>1427000</v>
      </c>
      <c r="L21" s="13">
        <v>4035</v>
      </c>
      <c r="M21" s="13">
        <v>1.7440000000000001E-4</v>
      </c>
      <c r="N21" s="10">
        <v>40.267185419384703</v>
      </c>
      <c r="O21" s="10">
        <v>18.934095610823</v>
      </c>
      <c r="P21" s="10">
        <v>0.40855709280358798</v>
      </c>
    </row>
    <row r="22" spans="1:16" x14ac:dyDescent="0.25">
      <c r="A22" s="15"/>
      <c r="B22" s="4" t="s">
        <v>9</v>
      </c>
      <c r="C22" s="9">
        <v>1.9412130000000001</v>
      </c>
      <c r="D22" s="8">
        <v>1</v>
      </c>
      <c r="E22" s="7">
        <v>0</v>
      </c>
      <c r="F22" s="1">
        <v>0.55100000000000005</v>
      </c>
      <c r="G22" s="9">
        <v>2.13076</v>
      </c>
      <c r="H22" s="8">
        <v>0.96599999999999997</v>
      </c>
      <c r="I22" s="1">
        <v>24.86</v>
      </c>
      <c r="J22" s="12"/>
      <c r="K22" s="13"/>
      <c r="L22" s="13"/>
      <c r="M22" s="13"/>
      <c r="N22" s="10"/>
      <c r="O22" s="10"/>
      <c r="P22" s="10"/>
    </row>
    <row r="23" spans="1:16" x14ac:dyDescent="0.25">
      <c r="A23" s="15">
        <v>1500</v>
      </c>
      <c r="B23" s="3" t="s">
        <v>8</v>
      </c>
      <c r="C23" s="9">
        <v>1.7678130000000001</v>
      </c>
      <c r="D23" s="8">
        <v>0.999</v>
      </c>
      <c r="E23" s="7">
        <v>0</v>
      </c>
      <c r="F23" s="1">
        <v>0.98699999999999999</v>
      </c>
      <c r="G23" s="9">
        <v>2.11435</v>
      </c>
      <c r="H23" s="8">
        <v>0.83099999999999996</v>
      </c>
      <c r="I23" s="1">
        <v>25.62</v>
      </c>
      <c r="J23" s="14">
        <v>0.97099999999999997</v>
      </c>
      <c r="K23" s="13">
        <v>2734000</v>
      </c>
      <c r="L23" s="13">
        <v>7729</v>
      </c>
      <c r="M23" s="13">
        <v>1.159E-4</v>
      </c>
      <c r="N23" s="10">
        <v>18.9529520550069</v>
      </c>
      <c r="O23" s="10">
        <v>1.65152960751591</v>
      </c>
      <c r="P23" s="10">
        <v>0.37929706579521399</v>
      </c>
    </row>
    <row r="24" spans="1:16" x14ac:dyDescent="0.25">
      <c r="A24" s="15"/>
      <c r="B24" s="4" t="s">
        <v>9</v>
      </c>
      <c r="C24" s="9">
        <v>1.9434260000000001</v>
      </c>
      <c r="D24" s="8">
        <v>1</v>
      </c>
      <c r="E24" s="7">
        <v>0</v>
      </c>
      <c r="F24" s="1">
        <v>0.58499999999999996</v>
      </c>
      <c r="G24" s="9">
        <v>2.1288399999999998</v>
      </c>
      <c r="H24" s="8">
        <v>0.96599999999999997</v>
      </c>
      <c r="I24" s="1">
        <v>24.88</v>
      </c>
      <c r="J24" s="14"/>
      <c r="K24" s="13"/>
      <c r="L24" s="13"/>
      <c r="M24" s="13"/>
      <c r="N24" s="10"/>
      <c r="O24" s="10"/>
      <c r="P24" s="10"/>
    </row>
    <row r="25" spans="1:16" x14ac:dyDescent="0.25">
      <c r="A25" s="15">
        <v>1600</v>
      </c>
      <c r="B25" s="3" t="s">
        <v>8</v>
      </c>
      <c r="C25" s="9">
        <v>1.774008</v>
      </c>
      <c r="D25" s="8">
        <v>0.999</v>
      </c>
      <c r="E25" s="7">
        <v>0</v>
      </c>
      <c r="F25" s="1">
        <v>1.024</v>
      </c>
      <c r="G25" s="9">
        <v>2.11111</v>
      </c>
      <c r="H25" s="8">
        <v>0.83499999999999996</v>
      </c>
      <c r="I25" s="6">
        <v>25.1</v>
      </c>
      <c r="J25" s="12">
        <v>0.99199999999999999</v>
      </c>
      <c r="K25" s="13">
        <v>1353000</v>
      </c>
      <c r="L25" s="13">
        <v>3825</v>
      </c>
      <c r="M25" s="13">
        <v>-2.3330000000000001E-4</v>
      </c>
      <c r="N25" s="10">
        <v>14.950960608439701</v>
      </c>
      <c r="O25" s="10">
        <v>4.9270067192797002</v>
      </c>
      <c r="P25" s="10">
        <v>0.35238212899080001</v>
      </c>
    </row>
    <row r="26" spans="1:16" x14ac:dyDescent="0.25">
      <c r="A26" s="15"/>
      <c r="B26" s="4" t="s">
        <v>9</v>
      </c>
      <c r="C26" s="9">
        <v>1.9452590000000001</v>
      </c>
      <c r="D26" s="8">
        <v>1</v>
      </c>
      <c r="E26" s="7">
        <v>0</v>
      </c>
      <c r="F26" s="1">
        <v>0.61899999999999999</v>
      </c>
      <c r="G26" s="9">
        <v>2.1272199999999999</v>
      </c>
      <c r="H26" s="8">
        <v>0.96699999999999997</v>
      </c>
      <c r="I26" s="6">
        <v>24.9</v>
      </c>
      <c r="J26" s="12"/>
      <c r="K26" s="13"/>
      <c r="L26" s="13"/>
      <c r="M26" s="13"/>
      <c r="N26" s="10"/>
      <c r="O26" s="10"/>
      <c r="P26" s="10"/>
    </row>
    <row r="27" spans="1:16" x14ac:dyDescent="0.25">
      <c r="A27" s="15">
        <v>1700</v>
      </c>
      <c r="B27" s="3" t="s">
        <v>8</v>
      </c>
      <c r="C27" s="9">
        <v>1.77928</v>
      </c>
      <c r="D27" s="8">
        <v>0.999</v>
      </c>
      <c r="E27" s="7">
        <v>0</v>
      </c>
      <c r="F27" s="1">
        <v>1.0629999999999999</v>
      </c>
      <c r="G27" s="9">
        <v>2.10812</v>
      </c>
      <c r="H27" s="8">
        <v>0.83799999999999997</v>
      </c>
      <c r="I27" s="1">
        <v>25.62</v>
      </c>
      <c r="J27" s="14">
        <v>0.97199999999999998</v>
      </c>
      <c r="K27" s="13">
        <v>2760000</v>
      </c>
      <c r="L27" s="13">
        <v>7803</v>
      </c>
      <c r="M27" s="13">
        <v>-1.169E-4</v>
      </c>
      <c r="N27" s="10">
        <v>18.9529520550069</v>
      </c>
      <c r="O27" s="10">
        <v>49.965809267860003</v>
      </c>
      <c r="P27" s="10">
        <v>0.32699962856384301</v>
      </c>
    </row>
    <row r="28" spans="1:16" x14ac:dyDescent="0.25">
      <c r="A28" s="15"/>
      <c r="B28" s="4" t="s">
        <v>9</v>
      </c>
      <c r="C28" s="9">
        <v>1.9467939999999999</v>
      </c>
      <c r="D28" s="8">
        <v>1</v>
      </c>
      <c r="E28" s="7">
        <v>0</v>
      </c>
      <c r="F28" s="1">
        <v>0.65400000000000003</v>
      </c>
      <c r="G28" s="9">
        <v>2.1258499999999998</v>
      </c>
      <c r="H28" s="8">
        <v>0.96699999999999997</v>
      </c>
      <c r="I28" s="1">
        <v>24.91</v>
      </c>
      <c r="J28" s="14"/>
      <c r="K28" s="13"/>
      <c r="L28" s="13"/>
      <c r="M28" s="13"/>
      <c r="N28" s="10"/>
      <c r="O28" s="10"/>
      <c r="P28" s="10"/>
    </row>
    <row r="29" spans="1:16" x14ac:dyDescent="0.25">
      <c r="A29" s="15">
        <v>1800</v>
      </c>
      <c r="B29" s="3" t="s">
        <v>8</v>
      </c>
      <c r="C29" s="9">
        <v>1.7838000000000001</v>
      </c>
      <c r="D29" s="8">
        <v>0.999</v>
      </c>
      <c r="E29" s="7">
        <v>0</v>
      </c>
      <c r="F29" s="1">
        <v>1.1040000000000001</v>
      </c>
      <c r="G29" s="9">
        <v>2.1053700000000002</v>
      </c>
      <c r="H29" s="8">
        <v>0.84</v>
      </c>
      <c r="I29" s="1">
        <v>25.17</v>
      </c>
      <c r="J29" s="12">
        <v>0.99</v>
      </c>
      <c r="K29" s="13">
        <v>1299000</v>
      </c>
      <c r="L29" s="13">
        <v>3672</v>
      </c>
      <c r="M29" s="13">
        <v>2.067E-5</v>
      </c>
      <c r="N29" s="10">
        <v>76.455281342036002</v>
      </c>
      <c r="O29" s="10">
        <v>3.8471587027188998</v>
      </c>
      <c r="P29" s="10">
        <v>0.303162612969191</v>
      </c>
    </row>
    <row r="30" spans="1:16" x14ac:dyDescent="0.25">
      <c r="A30" s="15"/>
      <c r="B30" s="4" t="s">
        <v>9</v>
      </c>
      <c r="C30" s="9">
        <v>1.9480919999999999</v>
      </c>
      <c r="D30" s="8">
        <v>1</v>
      </c>
      <c r="E30" s="7">
        <v>0</v>
      </c>
      <c r="F30" s="1">
        <v>0.68899999999999995</v>
      </c>
      <c r="G30" s="9">
        <v>2.1246700000000001</v>
      </c>
      <c r="H30" s="8">
        <v>0.96699999999999997</v>
      </c>
      <c r="I30" s="1">
        <v>24.93</v>
      </c>
      <c r="J30" s="12"/>
      <c r="K30" s="13"/>
      <c r="L30" s="13"/>
      <c r="M30" s="13"/>
      <c r="N30" s="10"/>
      <c r="O30" s="10"/>
      <c r="P30" s="10"/>
    </row>
  </sheetData>
  <mergeCells count="106">
    <mergeCell ref="A29:A30"/>
    <mergeCell ref="J5:J6"/>
    <mergeCell ref="K5:K6"/>
    <mergeCell ref="L5:L6"/>
    <mergeCell ref="M5:M6"/>
    <mergeCell ref="N5:N6"/>
    <mergeCell ref="L9:L10"/>
    <mergeCell ref="M9:M10"/>
    <mergeCell ref="N9:N10"/>
    <mergeCell ref="J13:J14"/>
    <mergeCell ref="A17:A18"/>
    <mergeCell ref="A19:A20"/>
    <mergeCell ref="A21:A22"/>
    <mergeCell ref="A23:A24"/>
    <mergeCell ref="A25:A26"/>
    <mergeCell ref="A27:A28"/>
    <mergeCell ref="A5:A6"/>
    <mergeCell ref="A7:A8"/>
    <mergeCell ref="A9:A10"/>
    <mergeCell ref="A11:A12"/>
    <mergeCell ref="A13:A14"/>
    <mergeCell ref="A15:A16"/>
    <mergeCell ref="O9:O10"/>
    <mergeCell ref="J11:J12"/>
    <mergeCell ref="K11:K12"/>
    <mergeCell ref="L11:L12"/>
    <mergeCell ref="M11:M12"/>
    <mergeCell ref="N11:N12"/>
    <mergeCell ref="O11:O12"/>
    <mergeCell ref="O5:O6"/>
    <mergeCell ref="J7:J8"/>
    <mergeCell ref="K7:K8"/>
    <mergeCell ref="L7:L8"/>
    <mergeCell ref="M7:M8"/>
    <mergeCell ref="N7:N8"/>
    <mergeCell ref="O7:O8"/>
    <mergeCell ref="J9:J10"/>
    <mergeCell ref="K9:K10"/>
    <mergeCell ref="K13:K14"/>
    <mergeCell ref="L13:L14"/>
    <mergeCell ref="M13:M14"/>
    <mergeCell ref="N13:N14"/>
    <mergeCell ref="O13:O14"/>
    <mergeCell ref="J15:J16"/>
    <mergeCell ref="K15:K16"/>
    <mergeCell ref="L15:L16"/>
    <mergeCell ref="M15:M16"/>
    <mergeCell ref="N15:N16"/>
    <mergeCell ref="J19:J20"/>
    <mergeCell ref="K19:K20"/>
    <mergeCell ref="L19:L20"/>
    <mergeCell ref="M19:M20"/>
    <mergeCell ref="N19:N20"/>
    <mergeCell ref="O19:O20"/>
    <mergeCell ref="O15:O16"/>
    <mergeCell ref="J17:J18"/>
    <mergeCell ref="K17:K18"/>
    <mergeCell ref="L17:L18"/>
    <mergeCell ref="M17:M18"/>
    <mergeCell ref="N17:N18"/>
    <mergeCell ref="O17:O18"/>
    <mergeCell ref="J23:J24"/>
    <mergeCell ref="K23:K24"/>
    <mergeCell ref="L23:L24"/>
    <mergeCell ref="M23:M24"/>
    <mergeCell ref="N23:N24"/>
    <mergeCell ref="O23:O24"/>
    <mergeCell ref="J21:J22"/>
    <mergeCell ref="K21:K22"/>
    <mergeCell ref="L21:L22"/>
    <mergeCell ref="M21:M22"/>
    <mergeCell ref="N21:N22"/>
    <mergeCell ref="O21:O22"/>
    <mergeCell ref="M27:M28"/>
    <mergeCell ref="N27:N28"/>
    <mergeCell ref="O27:O28"/>
    <mergeCell ref="J25:J26"/>
    <mergeCell ref="K25:K26"/>
    <mergeCell ref="L25:L26"/>
    <mergeCell ref="M25:M26"/>
    <mergeCell ref="N25:N26"/>
    <mergeCell ref="O25:O26"/>
    <mergeCell ref="P29:P30"/>
    <mergeCell ref="A2:B2"/>
    <mergeCell ref="A3:B3"/>
    <mergeCell ref="P17:P18"/>
    <mergeCell ref="P19:P20"/>
    <mergeCell ref="P21:P22"/>
    <mergeCell ref="P23:P24"/>
    <mergeCell ref="P25:P26"/>
    <mergeCell ref="P27:P28"/>
    <mergeCell ref="P9:P10"/>
    <mergeCell ref="P5:P6"/>
    <mergeCell ref="P7:P8"/>
    <mergeCell ref="P11:P12"/>
    <mergeCell ref="P13:P14"/>
    <mergeCell ref="P15:P16"/>
    <mergeCell ref="J29:J30"/>
    <mergeCell ref="K29:K30"/>
    <mergeCell ref="L29:L30"/>
    <mergeCell ref="M29:M30"/>
    <mergeCell ref="N29:N30"/>
    <mergeCell ref="O29:O30"/>
    <mergeCell ref="J27:J28"/>
    <mergeCell ref="K27:K28"/>
    <mergeCell ref="L27:L2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3ECD-C057-40A5-AAA4-C8F8C271743B}">
  <dimension ref="A2:B28"/>
  <sheetViews>
    <sheetView tabSelected="1" topLeftCell="A10" workbookViewId="0">
      <selection activeCell="K15" sqref="K15"/>
    </sheetView>
  </sheetViews>
  <sheetFormatPr baseColWidth="10" defaultRowHeight="15" x14ac:dyDescent="0.25"/>
  <sheetData>
    <row r="2" spans="1:2" x14ac:dyDescent="0.25">
      <c r="A2" s="2" t="s">
        <v>0</v>
      </c>
      <c r="B2" s="5" t="s">
        <v>19</v>
      </c>
    </row>
    <row r="3" spans="1:2" x14ac:dyDescent="0.25">
      <c r="A3" s="15">
        <v>600</v>
      </c>
      <c r="B3" s="10">
        <v>0.40345017932940602</v>
      </c>
    </row>
    <row r="4" spans="1:2" x14ac:dyDescent="0.25">
      <c r="A4" s="15"/>
      <c r="B4" s="10"/>
    </row>
    <row r="5" spans="1:2" x14ac:dyDescent="0.25">
      <c r="A5" s="15">
        <v>700</v>
      </c>
      <c r="B5" s="10">
        <v>0.46858443319416199</v>
      </c>
    </row>
    <row r="6" spans="1:2" x14ac:dyDescent="0.25">
      <c r="A6" s="15"/>
      <c r="B6" s="10"/>
    </row>
    <row r="7" spans="1:2" x14ac:dyDescent="0.25">
      <c r="A7" s="15">
        <v>800</v>
      </c>
      <c r="B7" s="10">
        <v>0.50427363100578904</v>
      </c>
    </row>
    <row r="8" spans="1:2" x14ac:dyDescent="0.25">
      <c r="A8" s="15"/>
      <c r="B8" s="10"/>
    </row>
    <row r="9" spans="1:2" x14ac:dyDescent="0.25">
      <c r="A9" s="15">
        <v>900</v>
      </c>
      <c r="B9" s="10">
        <v>0.51626545066570695</v>
      </c>
    </row>
    <row r="10" spans="1:2" x14ac:dyDescent="0.25">
      <c r="A10" s="15"/>
      <c r="B10" s="10"/>
    </row>
    <row r="11" spans="1:2" x14ac:dyDescent="0.25">
      <c r="A11" s="15">
        <v>1000</v>
      </c>
      <c r="B11" s="10">
        <v>0.5090197096154</v>
      </c>
    </row>
    <row r="12" spans="1:2" x14ac:dyDescent="0.25">
      <c r="A12" s="15"/>
      <c r="B12" s="10"/>
    </row>
    <row r="13" spans="1:2" x14ac:dyDescent="0.25">
      <c r="A13" s="15">
        <v>1100</v>
      </c>
      <c r="B13" s="10">
        <v>0.490426961828476</v>
      </c>
    </row>
    <row r="14" spans="1:2" x14ac:dyDescent="0.25">
      <c r="A14" s="15"/>
      <c r="B14" s="10"/>
    </row>
    <row r="15" spans="1:2" x14ac:dyDescent="0.25">
      <c r="A15" s="15">
        <v>1200</v>
      </c>
      <c r="B15" s="10">
        <v>0.46543429467219499</v>
      </c>
    </row>
    <row r="16" spans="1:2" x14ac:dyDescent="0.25">
      <c r="A16" s="15"/>
      <c r="B16" s="10"/>
    </row>
    <row r="17" spans="1:2" x14ac:dyDescent="0.25">
      <c r="A17" s="15">
        <v>1300</v>
      </c>
      <c r="B17" s="10">
        <v>0.43750474304242998</v>
      </c>
    </row>
    <row r="18" spans="1:2" x14ac:dyDescent="0.25">
      <c r="A18" s="15"/>
      <c r="B18" s="10"/>
    </row>
    <row r="19" spans="1:2" x14ac:dyDescent="0.25">
      <c r="A19" s="15">
        <v>1400</v>
      </c>
      <c r="B19" s="10">
        <v>0.40855709280358798</v>
      </c>
    </row>
    <row r="20" spans="1:2" x14ac:dyDescent="0.25">
      <c r="A20" s="15"/>
      <c r="B20" s="10"/>
    </row>
    <row r="21" spans="1:2" x14ac:dyDescent="0.25">
      <c r="A21" s="15">
        <v>1500</v>
      </c>
      <c r="B21" s="10">
        <v>0.37929706579521399</v>
      </c>
    </row>
    <row r="22" spans="1:2" x14ac:dyDescent="0.25">
      <c r="A22" s="15"/>
      <c r="B22" s="10"/>
    </row>
    <row r="23" spans="1:2" x14ac:dyDescent="0.25">
      <c r="A23" s="15">
        <v>1600</v>
      </c>
      <c r="B23" s="10">
        <v>0.35238212899080001</v>
      </c>
    </row>
    <row r="24" spans="1:2" x14ac:dyDescent="0.25">
      <c r="A24" s="15"/>
      <c r="B24" s="10"/>
    </row>
    <row r="25" spans="1:2" x14ac:dyDescent="0.25">
      <c r="A25" s="15">
        <v>1700</v>
      </c>
      <c r="B25" s="10">
        <v>0.32699962856384301</v>
      </c>
    </row>
    <row r="26" spans="1:2" x14ac:dyDescent="0.25">
      <c r="A26" s="15"/>
      <c r="B26" s="10"/>
    </row>
    <row r="27" spans="1:2" x14ac:dyDescent="0.25">
      <c r="A27" s="15">
        <v>1800</v>
      </c>
      <c r="B27" s="10">
        <v>0.303162612969191</v>
      </c>
    </row>
    <row r="28" spans="1:2" x14ac:dyDescent="0.25">
      <c r="A28" s="15"/>
      <c r="B28" s="10"/>
    </row>
  </sheetData>
  <mergeCells count="26">
    <mergeCell ref="B21:B22"/>
    <mergeCell ref="B23:B24"/>
    <mergeCell ref="B25:B26"/>
    <mergeCell ref="B27:B28"/>
    <mergeCell ref="A27:A28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A15:A16"/>
    <mergeCell ref="A17:A18"/>
    <mergeCell ref="A19:A20"/>
    <mergeCell ref="A21:A22"/>
    <mergeCell ref="A23:A24"/>
    <mergeCell ref="A25:A26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Elian Castiblanco</cp:lastModifiedBy>
  <dcterms:created xsi:type="dcterms:W3CDTF">2015-06-05T18:19:34Z</dcterms:created>
  <dcterms:modified xsi:type="dcterms:W3CDTF">2025-12-12T00:57:26Z</dcterms:modified>
</cp:coreProperties>
</file>